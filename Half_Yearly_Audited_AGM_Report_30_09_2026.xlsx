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ASHBOOK_APP\"/>
    </mc:Choice>
  </mc:AlternateContent>
  <xr:revisionPtr revIDLastSave="0" documentId="13_ncr:1_{F5939177-752C-4EEF-8E85-1EF9C68876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alf Yearly Trial Balance" sheetId="1" r:id="rId1"/>
  </sheets>
  <definedNames>
    <definedName name="_xlnm.Print_Area" localSheetId="0">'Half Yearly Trial Balance'!$A$1:$F$70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C53" i="1"/>
</calcChain>
</file>

<file path=xl/sharedStrings.xml><?xml version="1.0" encoding="utf-8"?>
<sst xmlns="http://schemas.openxmlformats.org/spreadsheetml/2006/main" count="197" uniqueCount="184">
  <si>
    <t>ST. GREGORIOS ORTHODOX SYRIAN CHURCH &amp; PILGRIM CENTRE, MYSURU</t>
  </si>
  <si>
    <t>HALF-YEARLY STATEMENT OF RECEIPTS &amp; PAYMENTS / TRIAL BALANCE (FY 2026-2027)</t>
  </si>
  <si>
    <t>Period: 01-April-2026 to 30-September-2026 | Audited for Presentation to Annual General Body Meeting (AGM)</t>
  </si>
  <si>
    <t>Code</t>
  </si>
  <si>
    <t>Receipts Account Head (Debit)</t>
  </si>
  <si>
    <t>Debit Amount (₹)</t>
  </si>
  <si>
    <t>Payments Account Head (Credit)</t>
  </si>
  <si>
    <t>Credit Amount (₹)</t>
  </si>
  <si>
    <t>RP-1.01</t>
  </si>
  <si>
    <t>Opening Balance - Cash in Hand (01/04/2026)</t>
  </si>
  <si>
    <t>RP- 13.02</t>
  </si>
  <si>
    <t>Bank Charges</t>
  </si>
  <si>
    <t>RP-1.02</t>
  </si>
  <si>
    <t>Opening Balance - Cash at Bank (01/04/2026)</t>
  </si>
  <si>
    <t>RP- 14.04</t>
  </si>
  <si>
    <t>Audit Fee</t>
  </si>
  <si>
    <t>RP-10.04/05</t>
  </si>
  <si>
    <t>Catholicate Day &amp; Recessa</t>
  </si>
  <si>
    <t>RP- 14.31</t>
  </si>
  <si>
    <t>Maintenance of Church &amp; Parsonage</t>
  </si>
  <si>
    <t>RP-10.08</t>
  </si>
  <si>
    <t>Metropolitan Fund</t>
  </si>
  <si>
    <t>RP- 14.35</t>
  </si>
  <si>
    <t>Maintenance of Cemetry</t>
  </si>
  <si>
    <t>RP-10.10</t>
  </si>
  <si>
    <t>Priest Welfare Fund</t>
  </si>
  <si>
    <t>RP- 16.04</t>
  </si>
  <si>
    <t>Church Service Expense</t>
  </si>
  <si>
    <t>RP-10.13</t>
  </si>
  <si>
    <t>Mission Sunday</t>
  </si>
  <si>
    <t>RP- 16.06</t>
  </si>
  <si>
    <t>Passion Week Expenses</t>
  </si>
  <si>
    <t>RP-10.14</t>
  </si>
  <si>
    <t>Sunday School Day Collection</t>
  </si>
  <si>
    <t>RP- 16.08</t>
  </si>
  <si>
    <t>Breakfast Expenses</t>
  </si>
  <si>
    <t>RP-10.15</t>
  </si>
  <si>
    <t>Seminary Day</t>
  </si>
  <si>
    <t>RP- 16.11(a)</t>
  </si>
  <si>
    <t>Electricity Charges - Church</t>
  </si>
  <si>
    <t>RP-10.17</t>
  </si>
  <si>
    <t>Old Cover Collection Dues</t>
  </si>
  <si>
    <t>RP- 16.11(b)</t>
  </si>
  <si>
    <t>Electricity Charges - Parsonage</t>
  </si>
  <si>
    <t>RP-2.02</t>
  </si>
  <si>
    <t>Donation General</t>
  </si>
  <si>
    <t>RP- 16.11(c)</t>
  </si>
  <si>
    <t>Elecricity Charges - Cemetry</t>
  </si>
  <si>
    <t>RP-2.02(a)</t>
  </si>
  <si>
    <t>Donation General-chair &amp; tables</t>
  </si>
  <si>
    <t>RP- 16.35</t>
  </si>
  <si>
    <t>Canteen Expenses</t>
  </si>
  <si>
    <t>RP-2.12</t>
  </si>
  <si>
    <t>Parish Day/Harvest / Collection</t>
  </si>
  <si>
    <t>RP- 16.36</t>
  </si>
  <si>
    <t>Cemetry Development</t>
  </si>
  <si>
    <t>RP-2.13</t>
  </si>
  <si>
    <t>Passion Week Collection</t>
  </si>
  <si>
    <t>RP- 16.47</t>
  </si>
  <si>
    <t>St. Mary's Feast</t>
  </si>
  <si>
    <t>RP-2.15</t>
  </si>
  <si>
    <t>Auction current</t>
  </si>
  <si>
    <t>RP- 16.50</t>
  </si>
  <si>
    <t>St. George Feast</t>
  </si>
  <si>
    <t>RP-2.15(a)</t>
  </si>
  <si>
    <t>Auction Dues - Old</t>
  </si>
  <si>
    <t>RP- 16.89</t>
  </si>
  <si>
    <t>Gift &amp; Mementoes</t>
  </si>
  <si>
    <t>RP-2.15(b)</t>
  </si>
  <si>
    <t>Petty Auction</t>
  </si>
  <si>
    <t>RP-12.02(a)</t>
  </si>
  <si>
    <t>Medical Allowance to Vicar</t>
  </si>
  <si>
    <t>RP-2.16</t>
  </si>
  <si>
    <t>Donation-Breakfast</t>
  </si>
  <si>
    <t>RP-12.02(c)</t>
  </si>
  <si>
    <t>Telephone Allowance to Vicar</t>
  </si>
  <si>
    <t>RP-2.211</t>
  </si>
  <si>
    <t>KMDC Grant</t>
  </si>
  <si>
    <t>RP-12.02(d)</t>
  </si>
  <si>
    <t>Local Travelling Allowance to Vicar</t>
  </si>
  <si>
    <t>RP-3.03</t>
  </si>
  <si>
    <t>Kurishinthothi &amp;</t>
  </si>
  <si>
    <t>RP-12.03(a)</t>
  </si>
  <si>
    <t>Salary to Sexton</t>
  </si>
  <si>
    <t>RP-3.04</t>
  </si>
  <si>
    <t>Koodaram</t>
  </si>
  <si>
    <t>RP-12.03(b)</t>
  </si>
  <si>
    <t>Salary to Watchman(Cemetry)</t>
  </si>
  <si>
    <t>RP-3.05</t>
  </si>
  <si>
    <t>Perunnal Vanchika (House Offertory Box)</t>
  </si>
  <si>
    <t>RP-12.03(c)</t>
  </si>
  <si>
    <t>Salary to Ayah</t>
  </si>
  <si>
    <t>RP-3.10</t>
  </si>
  <si>
    <t>Kanicka Church</t>
  </si>
  <si>
    <t>RP-12.06</t>
  </si>
  <si>
    <t>Medical Allowance to Sexton</t>
  </si>
  <si>
    <t>RP-3.12</t>
  </si>
  <si>
    <t>Orma Qurbana/Holy Qurbana</t>
  </si>
  <si>
    <t>RP-12.07</t>
  </si>
  <si>
    <t>Kaimuthu to Thirumeni</t>
  </si>
  <si>
    <t>RP-3.13</t>
  </si>
  <si>
    <t>Kanicka-Chapel</t>
  </si>
  <si>
    <t>RP-13.02</t>
  </si>
  <si>
    <t>RP-3.14</t>
  </si>
  <si>
    <t>Baptism</t>
  </si>
  <si>
    <t>RP-14.03</t>
  </si>
  <si>
    <t>Travelling Expenses</t>
  </si>
  <si>
    <t>RP-3.16</t>
  </si>
  <si>
    <t>Birthday Offerings</t>
  </si>
  <si>
    <t>RP-14.05</t>
  </si>
  <si>
    <t>Postage</t>
  </si>
  <si>
    <t>RP-3.17</t>
  </si>
  <si>
    <t>Wedding Anniversary Offerings</t>
  </si>
  <si>
    <t>RP-14.06</t>
  </si>
  <si>
    <t>Printing &amp; Stationery</t>
  </si>
  <si>
    <t>RP-3.17 (a)</t>
  </si>
  <si>
    <t>House Blessing</t>
  </si>
  <si>
    <t>RP-14.31</t>
  </si>
  <si>
    <t>RP-3.18</t>
  </si>
  <si>
    <t>Offerings for Ritual Articles : Candles, Oil, Kunturikkam</t>
  </si>
  <si>
    <t>RP-14.32</t>
  </si>
  <si>
    <t>Repairs And Maintenance-Equipments</t>
  </si>
  <si>
    <t>RP-3.31</t>
  </si>
  <si>
    <t>St. Thomas Feast</t>
  </si>
  <si>
    <t>RP-14.34</t>
  </si>
  <si>
    <t>Repairs And Maintenance-Vehicles</t>
  </si>
  <si>
    <t>RP-3.32</t>
  </si>
  <si>
    <t>RP-16.04</t>
  </si>
  <si>
    <t>RP-3.33</t>
  </si>
  <si>
    <t>St.Gregorios Feast(Annual Feast)</t>
  </si>
  <si>
    <t>RP-16.08</t>
  </si>
  <si>
    <t>RP-3.35</t>
  </si>
  <si>
    <t>RP-16.11(a)</t>
  </si>
  <si>
    <t>RP-3.61</t>
  </si>
  <si>
    <t>Sunday School</t>
  </si>
  <si>
    <t>RP-16.11(b)</t>
  </si>
  <si>
    <t>RP-3.64</t>
  </si>
  <si>
    <t>Kanika Prayer Group</t>
  </si>
  <si>
    <t>RP-16.11(c)</t>
  </si>
  <si>
    <t>RP-3.82</t>
  </si>
  <si>
    <t>Monthly Subscription ( Current Year)</t>
  </si>
  <si>
    <t>RP-16.36</t>
  </si>
  <si>
    <t>RP-3.83</t>
  </si>
  <si>
    <t>Monthly Subscription ( Pervious Year)</t>
  </si>
  <si>
    <t>RP-16.38</t>
  </si>
  <si>
    <t>Miscellaneous Expenses</t>
  </si>
  <si>
    <t>RP-8.03</t>
  </si>
  <si>
    <t>Interest Received SB Account</t>
  </si>
  <si>
    <t>RP-16.47</t>
  </si>
  <si>
    <t>RP-16.62</t>
  </si>
  <si>
    <t>Sunday School Expense</t>
  </si>
  <si>
    <t>RP-16.68</t>
  </si>
  <si>
    <t>MGOCSM &amp; OCYM</t>
  </si>
  <si>
    <t>RP-16.69</t>
  </si>
  <si>
    <t>St Joseph Orthodox Fellowship</t>
  </si>
  <si>
    <t>RP-16.89</t>
  </si>
  <si>
    <t>RP-18.16</t>
  </si>
  <si>
    <t>Asset Purchase</t>
  </si>
  <si>
    <t>RP-18.23</t>
  </si>
  <si>
    <t>Electrical Equipments</t>
  </si>
  <si>
    <t>RP-19.31</t>
  </si>
  <si>
    <t>Salary Quota to Diocese(Vicar)</t>
  </si>
  <si>
    <t>CB-CASH</t>
  </si>
  <si>
    <t>Closing Balance - Cash in Hand (30/09/2026)</t>
  </si>
  <si>
    <t>CB-BANK</t>
  </si>
  <si>
    <t>Closing Balance - Federal Bank SB A/c (30/09/2026)</t>
  </si>
  <si>
    <t>TOTAL TRIAL BALANCE (RECEIPTS / DEBIT)</t>
  </si>
  <si>
    <t>TOTAL TRIAL BALANCE (PAYMENTS / CREDIT)</t>
  </si>
  <si>
    <t>BANK &amp; CASH RECONCILIATION STATEMENT (BRS) AS ON 30-09-2026</t>
  </si>
  <si>
    <t>Opening Balance as on 01-04-2026: Cash in Hand</t>
  </si>
  <si>
    <t>Opening Balance as on 01-04-2026: Federal Bank SB A/c 12810100040888</t>
  </si>
  <si>
    <t>Add: Revenue &amp; General Receipts (01-04-2026 to 30-09-2026)</t>
  </si>
  <si>
    <t>Less: Revenue &amp; Capital Payments (01-04-2026 to 30-09-2026)</t>
  </si>
  <si>
    <t>Net Operating Surplus for Half Year</t>
  </si>
  <si>
    <t>Actual Cash in Hand as on 30-09-2026 (Audited Physical Cash)</t>
  </si>
  <si>
    <t>Actual Bank Balance as per Cash Book as on 30-09-2026</t>
  </si>
  <si>
    <t>Actual Bank Balance as per Federal Bank Statement (Page 10 Ledger Balance as on 29-09-2026)</t>
  </si>
  <si>
    <t>Federal Bank Statement Effective Available Balance as printed on 04-10-2026 Header</t>
  </si>
  <si>
    <t>Less: Subsequent October Receipts credited after 30-09-2026 (04-Oct-2026 UPI Credits)</t>
  </si>
  <si>
    <t>Reconciled Federal Bank Balance as on 30-09-2026</t>
  </si>
  <si>
    <t>Bank Reconciliation Variance / Unreconciled Difference</t>
  </si>
  <si>
    <t xml:space="preserve">
Audit Committee</t>
  </si>
  <si>
    <t>Trustee</t>
  </si>
  <si>
    <t xml:space="preserve">Vicar / President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</si>
</sst>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E293B"/>
      <name val="Segoe UI"/>
      <family val="2"/>
    </font>
    <font>
      <b/>
      <sz val="11"/>
      <color rgb="FF2563EB"/>
      <name val="Segoe UI"/>
      <family val="2"/>
    </font>
    <font>
      <sz val="10"/>
      <color rgb="FF475569"/>
      <name val="Segoe UI"/>
      <family val="2"/>
    </font>
    <font>
      <b/>
      <sz val="10"/>
      <color rgb="FFFFFFFF"/>
      <name val="Segoe UI"/>
      <family val="2"/>
    </font>
    <font>
      <b/>
      <sz val="9"/>
      <color rgb="FF2563EB"/>
      <name val="Consolas"/>
      <family val="3"/>
    </font>
    <font>
      <b/>
      <sz val="10"/>
      <color rgb="FF0F172A"/>
      <name val="Segoe UI"/>
      <family val="2"/>
    </font>
    <font>
      <sz val="10"/>
      <color rgb="FF1E293B"/>
      <name val="Segoe UI"/>
      <family val="2"/>
    </font>
    <font>
      <sz val="10"/>
      <color rgb="FF0F172A"/>
      <name val="Segoe UI"/>
      <family val="2"/>
    </font>
    <font>
      <b/>
      <sz val="11"/>
      <color rgb="FF1E293B"/>
      <name val="Segoe UI"/>
      <family val="2"/>
    </font>
    <font>
      <b/>
      <sz val="11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F1F5F9"/>
        <bgColor rgb="FFF1F5F9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94A3B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/>
    <xf numFmtId="4" fontId="9" fillId="4" borderId="2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0" borderId="1" xfId="0" applyFont="1" applyBorder="1"/>
    <xf numFmtId="0" fontId="0" fillId="0" borderId="3" xfId="0" applyBorder="1"/>
    <xf numFmtId="0" fontId="0" fillId="0" borderId="4" xfId="0" applyBorder="1"/>
    <xf numFmtId="0" fontId="6" fillId="0" borderId="1" xfId="0" applyFont="1" applyBorder="1"/>
    <xf numFmtId="0" fontId="1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view="pageBreakPreview" zoomScale="60" zoomScaleNormal="100" workbookViewId="0">
      <selection activeCell="F70" sqref="F70"/>
    </sheetView>
  </sheetViews>
  <sheetFormatPr defaultRowHeight="15" x14ac:dyDescent="0.25"/>
  <cols>
    <col min="1" max="1" width="14" customWidth="1"/>
    <col min="2" max="2" width="46" customWidth="1"/>
    <col min="3" max="3" width="18" customWidth="1"/>
    <col min="4" max="4" width="14" customWidth="1"/>
    <col min="5" max="5" width="46" customWidth="1"/>
    <col min="6" max="6" width="18" customWidth="1"/>
  </cols>
  <sheetData>
    <row r="1" spans="1:6" ht="20.25" x14ac:dyDescent="0.25">
      <c r="A1" s="20" t="s">
        <v>0</v>
      </c>
      <c r="B1" s="15"/>
      <c r="C1" s="15"/>
      <c r="D1" s="15"/>
      <c r="E1" s="15"/>
      <c r="F1" s="15"/>
    </row>
    <row r="2" spans="1:6" ht="16.5" x14ac:dyDescent="0.25">
      <c r="A2" s="14" t="s">
        <v>1</v>
      </c>
      <c r="B2" s="15"/>
      <c r="C2" s="15"/>
      <c r="D2" s="15"/>
      <c r="E2" s="15"/>
      <c r="F2" s="15"/>
    </row>
    <row r="3" spans="1:6" x14ac:dyDescent="0.25">
      <c r="A3" s="22" t="s">
        <v>2</v>
      </c>
      <c r="B3" s="15"/>
      <c r="C3" s="15"/>
      <c r="D3" s="15"/>
      <c r="E3" s="15"/>
      <c r="F3" s="15"/>
    </row>
    <row r="5" spans="1:6" x14ac:dyDescent="0.25">
      <c r="A5" s="1" t="s">
        <v>3</v>
      </c>
      <c r="B5" s="2" t="s">
        <v>4</v>
      </c>
      <c r="C5" s="3" t="s">
        <v>5</v>
      </c>
      <c r="D5" s="1" t="s">
        <v>3</v>
      </c>
      <c r="E5" s="2" t="s">
        <v>6</v>
      </c>
      <c r="F5" s="3" t="s">
        <v>7</v>
      </c>
    </row>
    <row r="6" spans="1:6" x14ac:dyDescent="0.25">
      <c r="A6" s="4" t="s">
        <v>8</v>
      </c>
      <c r="B6" s="5" t="s">
        <v>9</v>
      </c>
      <c r="C6" s="6">
        <v>9879</v>
      </c>
      <c r="D6" s="7" t="s">
        <v>10</v>
      </c>
      <c r="E6" s="8" t="s">
        <v>11</v>
      </c>
      <c r="F6" s="9">
        <v>312</v>
      </c>
    </row>
    <row r="7" spans="1:6" x14ac:dyDescent="0.25">
      <c r="A7" s="4" t="s">
        <v>12</v>
      </c>
      <c r="B7" s="5" t="s">
        <v>13</v>
      </c>
      <c r="C7" s="6">
        <v>651682</v>
      </c>
      <c r="D7" s="7" t="s">
        <v>14</v>
      </c>
      <c r="E7" s="8" t="s">
        <v>15</v>
      </c>
      <c r="F7" s="9">
        <v>35400</v>
      </c>
    </row>
    <row r="8" spans="1:6" x14ac:dyDescent="0.25">
      <c r="A8" s="7" t="s">
        <v>16</v>
      </c>
      <c r="B8" s="8" t="s">
        <v>17</v>
      </c>
      <c r="C8" s="9">
        <v>36050</v>
      </c>
      <c r="D8" s="7" t="s">
        <v>18</v>
      </c>
      <c r="E8" s="8" t="s">
        <v>19</v>
      </c>
      <c r="F8" s="9">
        <v>91991</v>
      </c>
    </row>
    <row r="9" spans="1:6" x14ac:dyDescent="0.25">
      <c r="A9" s="7" t="s">
        <v>20</v>
      </c>
      <c r="B9" s="8" t="s">
        <v>21</v>
      </c>
      <c r="C9" s="9">
        <v>16450</v>
      </c>
      <c r="D9" s="7" t="s">
        <v>22</v>
      </c>
      <c r="E9" s="8" t="s">
        <v>23</v>
      </c>
      <c r="F9" s="9">
        <v>5490</v>
      </c>
    </row>
    <row r="10" spans="1:6" x14ac:dyDescent="0.25">
      <c r="A10" s="7" t="s">
        <v>24</v>
      </c>
      <c r="B10" s="8" t="s">
        <v>25</v>
      </c>
      <c r="C10" s="9">
        <v>8200</v>
      </c>
      <c r="D10" s="7" t="s">
        <v>26</v>
      </c>
      <c r="E10" s="8" t="s">
        <v>27</v>
      </c>
      <c r="F10" s="9">
        <v>10349</v>
      </c>
    </row>
    <row r="11" spans="1:6" x14ac:dyDescent="0.25">
      <c r="A11" s="7" t="s">
        <v>28</v>
      </c>
      <c r="B11" s="8" t="s">
        <v>29</v>
      </c>
      <c r="C11" s="9">
        <v>10550</v>
      </c>
      <c r="D11" s="7" t="s">
        <v>30</v>
      </c>
      <c r="E11" s="8" t="s">
        <v>31</v>
      </c>
      <c r="F11" s="9">
        <v>54350</v>
      </c>
    </row>
    <row r="12" spans="1:6" x14ac:dyDescent="0.25">
      <c r="A12" s="7" t="s">
        <v>32</v>
      </c>
      <c r="B12" s="8" t="s">
        <v>33</v>
      </c>
      <c r="C12" s="9">
        <v>2750</v>
      </c>
      <c r="D12" s="7" t="s">
        <v>34</v>
      </c>
      <c r="E12" s="8" t="s">
        <v>35</v>
      </c>
      <c r="F12" s="9">
        <v>101374</v>
      </c>
    </row>
    <row r="13" spans="1:6" x14ac:dyDescent="0.25">
      <c r="A13" s="7" t="s">
        <v>36</v>
      </c>
      <c r="B13" s="8" t="s">
        <v>37</v>
      </c>
      <c r="C13" s="9">
        <v>7450</v>
      </c>
      <c r="D13" s="7" t="s">
        <v>38</v>
      </c>
      <c r="E13" s="8" t="s">
        <v>39</v>
      </c>
      <c r="F13" s="9">
        <v>12728</v>
      </c>
    </row>
    <row r="14" spans="1:6" x14ac:dyDescent="0.25">
      <c r="A14" s="7" t="s">
        <v>40</v>
      </c>
      <c r="B14" s="8" t="s">
        <v>41</v>
      </c>
      <c r="C14" s="9">
        <v>8100</v>
      </c>
      <c r="D14" s="7" t="s">
        <v>42</v>
      </c>
      <c r="E14" s="8" t="s">
        <v>43</v>
      </c>
      <c r="F14" s="9">
        <v>12990</v>
      </c>
    </row>
    <row r="15" spans="1:6" x14ac:dyDescent="0.25">
      <c r="A15" s="7" t="s">
        <v>44</v>
      </c>
      <c r="B15" s="8" t="s">
        <v>45</v>
      </c>
      <c r="C15" s="9">
        <v>417430</v>
      </c>
      <c r="D15" s="7" t="s">
        <v>46</v>
      </c>
      <c r="E15" s="8" t="s">
        <v>47</v>
      </c>
      <c r="F15" s="9">
        <v>279</v>
      </c>
    </row>
    <row r="16" spans="1:6" x14ac:dyDescent="0.25">
      <c r="A16" s="7" t="s">
        <v>48</v>
      </c>
      <c r="B16" s="8" t="s">
        <v>49</v>
      </c>
      <c r="C16" s="9">
        <v>211780</v>
      </c>
      <c r="D16" s="7" t="s">
        <v>50</v>
      </c>
      <c r="E16" s="8" t="s">
        <v>51</v>
      </c>
      <c r="F16" s="9">
        <v>2538</v>
      </c>
    </row>
    <row r="17" spans="1:6" x14ac:dyDescent="0.25">
      <c r="A17" s="7" t="s">
        <v>52</v>
      </c>
      <c r="B17" s="8" t="s">
        <v>53</v>
      </c>
      <c r="C17" s="9">
        <v>1500</v>
      </c>
      <c r="D17" s="7" t="s">
        <v>54</v>
      </c>
      <c r="E17" s="8" t="s">
        <v>55</v>
      </c>
      <c r="F17" s="9">
        <v>200500</v>
      </c>
    </row>
    <row r="18" spans="1:6" x14ac:dyDescent="0.25">
      <c r="A18" s="7" t="s">
        <v>56</v>
      </c>
      <c r="B18" s="8" t="s">
        <v>57</v>
      </c>
      <c r="C18" s="9">
        <v>78606</v>
      </c>
      <c r="D18" s="7" t="s">
        <v>58</v>
      </c>
      <c r="E18" s="8" t="s">
        <v>59</v>
      </c>
      <c r="F18" s="9">
        <v>8690</v>
      </c>
    </row>
    <row r="19" spans="1:6" x14ac:dyDescent="0.25">
      <c r="A19" s="7" t="s">
        <v>60</v>
      </c>
      <c r="B19" s="8" t="s">
        <v>61</v>
      </c>
      <c r="C19" s="9">
        <v>1000</v>
      </c>
      <c r="D19" s="7" t="s">
        <v>62</v>
      </c>
      <c r="E19" s="8" t="s">
        <v>63</v>
      </c>
      <c r="F19" s="9">
        <v>10183</v>
      </c>
    </row>
    <row r="20" spans="1:6" x14ac:dyDescent="0.25">
      <c r="A20" s="7" t="s">
        <v>64</v>
      </c>
      <c r="B20" s="8" t="s">
        <v>65</v>
      </c>
      <c r="C20" s="9">
        <v>106500</v>
      </c>
      <c r="D20" s="7" t="s">
        <v>66</v>
      </c>
      <c r="E20" s="8" t="s">
        <v>67</v>
      </c>
      <c r="F20" s="9">
        <v>5502</v>
      </c>
    </row>
    <row r="21" spans="1:6" x14ac:dyDescent="0.25">
      <c r="A21" s="7" t="s">
        <v>68</v>
      </c>
      <c r="B21" s="8" t="s">
        <v>69</v>
      </c>
      <c r="C21" s="9">
        <v>1500</v>
      </c>
      <c r="D21" s="7" t="s">
        <v>70</v>
      </c>
      <c r="E21" s="8" t="s">
        <v>71</v>
      </c>
      <c r="F21" s="9">
        <v>8434</v>
      </c>
    </row>
    <row r="22" spans="1:6" x14ac:dyDescent="0.25">
      <c r="A22" s="7" t="s">
        <v>72</v>
      </c>
      <c r="B22" s="8" t="s">
        <v>73</v>
      </c>
      <c r="C22" s="9">
        <v>156300</v>
      </c>
      <c r="D22" s="7" t="s">
        <v>74</v>
      </c>
      <c r="E22" s="8" t="s">
        <v>75</v>
      </c>
      <c r="F22" s="9">
        <v>3000</v>
      </c>
    </row>
    <row r="23" spans="1:6" x14ac:dyDescent="0.25">
      <c r="A23" s="7" t="s">
        <v>76</v>
      </c>
      <c r="B23" s="8" t="s">
        <v>77</v>
      </c>
      <c r="C23" s="9">
        <v>1500000</v>
      </c>
      <c r="D23" s="7" t="s">
        <v>78</v>
      </c>
      <c r="E23" s="8" t="s">
        <v>79</v>
      </c>
      <c r="F23" s="9">
        <v>15000</v>
      </c>
    </row>
    <row r="24" spans="1:6" x14ac:dyDescent="0.25">
      <c r="A24" s="7" t="s">
        <v>80</v>
      </c>
      <c r="B24" s="8" t="s">
        <v>81</v>
      </c>
      <c r="C24" s="9">
        <v>44807</v>
      </c>
      <c r="D24" s="7" t="s">
        <v>82</v>
      </c>
      <c r="E24" s="8" t="s">
        <v>83</v>
      </c>
      <c r="F24" s="9">
        <v>92700</v>
      </c>
    </row>
    <row r="25" spans="1:6" x14ac:dyDescent="0.25">
      <c r="A25" s="7" t="s">
        <v>84</v>
      </c>
      <c r="B25" s="8" t="s">
        <v>85</v>
      </c>
      <c r="C25" s="9">
        <v>47311</v>
      </c>
      <c r="D25" s="7" t="s">
        <v>86</v>
      </c>
      <c r="E25" s="8" t="s">
        <v>87</v>
      </c>
      <c r="F25" s="9">
        <v>14100</v>
      </c>
    </row>
    <row r="26" spans="1:6" x14ac:dyDescent="0.25">
      <c r="A26" s="7" t="s">
        <v>88</v>
      </c>
      <c r="B26" s="8" t="s">
        <v>89</v>
      </c>
      <c r="C26" s="9">
        <v>5800</v>
      </c>
      <c r="D26" s="7" t="s">
        <v>90</v>
      </c>
      <c r="E26" s="8" t="s">
        <v>91</v>
      </c>
      <c r="F26" s="9">
        <v>23580</v>
      </c>
    </row>
    <row r="27" spans="1:6" x14ac:dyDescent="0.25">
      <c r="A27" s="7" t="s">
        <v>92</v>
      </c>
      <c r="B27" s="8" t="s">
        <v>93</v>
      </c>
      <c r="C27" s="9">
        <v>187424</v>
      </c>
      <c r="D27" s="7" t="s">
        <v>94</v>
      </c>
      <c r="E27" s="8" t="s">
        <v>95</v>
      </c>
      <c r="F27" s="9">
        <v>2589</v>
      </c>
    </row>
    <row r="28" spans="1:6" x14ac:dyDescent="0.25">
      <c r="A28" s="7" t="s">
        <v>96</v>
      </c>
      <c r="B28" s="8" t="s">
        <v>97</v>
      </c>
      <c r="C28" s="9">
        <v>7720</v>
      </c>
      <c r="D28" s="7" t="s">
        <v>98</v>
      </c>
      <c r="E28" s="8" t="s">
        <v>99</v>
      </c>
      <c r="F28" s="9">
        <v>10000</v>
      </c>
    </row>
    <row r="29" spans="1:6" x14ac:dyDescent="0.25">
      <c r="A29" s="7" t="s">
        <v>100</v>
      </c>
      <c r="B29" s="8" t="s">
        <v>101</v>
      </c>
      <c r="C29" s="9">
        <v>3430</v>
      </c>
      <c r="D29" s="7" t="s">
        <v>102</v>
      </c>
      <c r="E29" s="8" t="s">
        <v>11</v>
      </c>
      <c r="F29" s="9">
        <v>5</v>
      </c>
    </row>
    <row r="30" spans="1:6" x14ac:dyDescent="0.25">
      <c r="A30" s="7" t="s">
        <v>103</v>
      </c>
      <c r="B30" s="8" t="s">
        <v>104</v>
      </c>
      <c r="C30" s="9">
        <v>2500</v>
      </c>
      <c r="D30" s="7" t="s">
        <v>105</v>
      </c>
      <c r="E30" s="8" t="s">
        <v>106</v>
      </c>
      <c r="F30" s="9">
        <v>3110</v>
      </c>
    </row>
    <row r="31" spans="1:6" x14ac:dyDescent="0.25">
      <c r="A31" s="7" t="s">
        <v>107</v>
      </c>
      <c r="B31" s="8" t="s">
        <v>108</v>
      </c>
      <c r="C31" s="9">
        <v>23250</v>
      </c>
      <c r="D31" s="7" t="s">
        <v>109</v>
      </c>
      <c r="E31" s="8" t="s">
        <v>110</v>
      </c>
      <c r="F31" s="9">
        <v>2433</v>
      </c>
    </row>
    <row r="32" spans="1:6" x14ac:dyDescent="0.25">
      <c r="A32" s="7" t="s">
        <v>111</v>
      </c>
      <c r="B32" s="8" t="s">
        <v>112</v>
      </c>
      <c r="C32" s="9">
        <v>9999</v>
      </c>
      <c r="D32" s="7" t="s">
        <v>113</v>
      </c>
      <c r="E32" s="8" t="s">
        <v>114</v>
      </c>
      <c r="F32" s="9">
        <v>34742</v>
      </c>
    </row>
    <row r="33" spans="1:6" x14ac:dyDescent="0.25">
      <c r="A33" s="7" t="s">
        <v>115</v>
      </c>
      <c r="B33" s="8" t="s">
        <v>116</v>
      </c>
      <c r="C33" s="9">
        <v>1500</v>
      </c>
      <c r="D33" s="7" t="s">
        <v>117</v>
      </c>
      <c r="E33" s="8" t="s">
        <v>19</v>
      </c>
      <c r="F33" s="9">
        <v>38519</v>
      </c>
    </row>
    <row r="34" spans="1:6" x14ac:dyDescent="0.25">
      <c r="A34" s="7" t="s">
        <v>118</v>
      </c>
      <c r="B34" s="8" t="s">
        <v>119</v>
      </c>
      <c r="C34" s="9">
        <v>2280</v>
      </c>
      <c r="D34" s="7" t="s">
        <v>120</v>
      </c>
      <c r="E34" s="8" t="s">
        <v>121</v>
      </c>
      <c r="F34" s="9">
        <v>3099</v>
      </c>
    </row>
    <row r="35" spans="1:6" x14ac:dyDescent="0.25">
      <c r="A35" s="7" t="s">
        <v>122</v>
      </c>
      <c r="B35" s="8" t="s">
        <v>123</v>
      </c>
      <c r="C35" s="9">
        <v>600</v>
      </c>
      <c r="D35" s="7" t="s">
        <v>124</v>
      </c>
      <c r="E35" s="8" t="s">
        <v>125</v>
      </c>
      <c r="F35" s="9">
        <v>4790</v>
      </c>
    </row>
    <row r="36" spans="1:6" x14ac:dyDescent="0.25">
      <c r="A36" s="7" t="s">
        <v>126</v>
      </c>
      <c r="B36" s="8" t="s">
        <v>59</v>
      </c>
      <c r="C36" s="9">
        <v>85300</v>
      </c>
      <c r="D36" s="7" t="s">
        <v>127</v>
      </c>
      <c r="E36" s="8" t="s">
        <v>27</v>
      </c>
      <c r="F36" s="9">
        <v>5950</v>
      </c>
    </row>
    <row r="37" spans="1:6" x14ac:dyDescent="0.25">
      <c r="A37" s="7" t="s">
        <v>128</v>
      </c>
      <c r="B37" s="8" t="s">
        <v>129</v>
      </c>
      <c r="C37" s="9">
        <v>1600</v>
      </c>
      <c r="D37" s="7" t="s">
        <v>130</v>
      </c>
      <c r="E37" s="8" t="s">
        <v>35</v>
      </c>
      <c r="F37" s="9">
        <v>42627</v>
      </c>
    </row>
    <row r="38" spans="1:6" x14ac:dyDescent="0.25">
      <c r="A38" s="7" t="s">
        <v>131</v>
      </c>
      <c r="B38" s="8" t="s">
        <v>63</v>
      </c>
      <c r="C38" s="9">
        <v>15500</v>
      </c>
      <c r="D38" s="7" t="s">
        <v>132</v>
      </c>
      <c r="E38" s="8" t="s">
        <v>39</v>
      </c>
      <c r="F38" s="9">
        <v>2430</v>
      </c>
    </row>
    <row r="39" spans="1:6" x14ac:dyDescent="0.25">
      <c r="A39" s="7" t="s">
        <v>133</v>
      </c>
      <c r="B39" s="8" t="s">
        <v>134</v>
      </c>
      <c r="C39" s="9">
        <v>2900</v>
      </c>
      <c r="D39" s="7" t="s">
        <v>135</v>
      </c>
      <c r="E39" s="8" t="s">
        <v>43</v>
      </c>
      <c r="F39" s="9">
        <v>2122</v>
      </c>
    </row>
    <row r="40" spans="1:6" x14ac:dyDescent="0.25">
      <c r="A40" s="7" t="s">
        <v>136</v>
      </c>
      <c r="B40" s="8" t="s">
        <v>137</v>
      </c>
      <c r="C40" s="9">
        <v>2370</v>
      </c>
      <c r="D40" s="7" t="s">
        <v>138</v>
      </c>
      <c r="E40" s="8" t="s">
        <v>47</v>
      </c>
      <c r="F40" s="9">
        <v>151</v>
      </c>
    </row>
    <row r="41" spans="1:6" x14ac:dyDescent="0.25">
      <c r="A41" s="7" t="s">
        <v>139</v>
      </c>
      <c r="B41" s="8" t="s">
        <v>140</v>
      </c>
      <c r="C41" s="9">
        <v>166200</v>
      </c>
      <c r="D41" s="7" t="s">
        <v>141</v>
      </c>
      <c r="E41" s="8" t="s">
        <v>55</v>
      </c>
      <c r="F41" s="9">
        <v>456935</v>
      </c>
    </row>
    <row r="42" spans="1:6" x14ac:dyDescent="0.25">
      <c r="A42" s="7" t="s">
        <v>142</v>
      </c>
      <c r="B42" s="8" t="s">
        <v>143</v>
      </c>
      <c r="C42" s="9">
        <v>39500</v>
      </c>
      <c r="D42" s="7" t="s">
        <v>144</v>
      </c>
      <c r="E42" s="8" t="s">
        <v>145</v>
      </c>
      <c r="F42" s="9">
        <v>2004</v>
      </c>
    </row>
    <row r="43" spans="1:6" x14ac:dyDescent="0.25">
      <c r="A43" s="7" t="s">
        <v>146</v>
      </c>
      <c r="B43" s="8" t="s">
        <v>147</v>
      </c>
      <c r="C43" s="9">
        <v>17127</v>
      </c>
      <c r="D43" s="7" t="s">
        <v>148</v>
      </c>
      <c r="E43" s="8" t="s">
        <v>59</v>
      </c>
      <c r="F43" s="9">
        <v>14714</v>
      </c>
    </row>
    <row r="44" spans="1:6" x14ac:dyDescent="0.25">
      <c r="A44" s="7"/>
      <c r="B44" s="8"/>
      <c r="C44" s="9"/>
      <c r="D44" s="7" t="s">
        <v>149</v>
      </c>
      <c r="E44" s="8" t="s">
        <v>150</v>
      </c>
      <c r="F44" s="9">
        <v>18000</v>
      </c>
    </row>
    <row r="45" spans="1:6" x14ac:dyDescent="0.25">
      <c r="A45" s="7"/>
      <c r="B45" s="8"/>
      <c r="C45" s="9"/>
      <c r="D45" s="7" t="s">
        <v>151</v>
      </c>
      <c r="E45" s="8" t="s">
        <v>152</v>
      </c>
      <c r="F45" s="9">
        <v>9740</v>
      </c>
    </row>
    <row r="46" spans="1:6" x14ac:dyDescent="0.25">
      <c r="A46" s="7"/>
      <c r="B46" s="8"/>
      <c r="C46" s="9"/>
      <c r="D46" s="7" t="s">
        <v>153</v>
      </c>
      <c r="E46" s="8" t="s">
        <v>154</v>
      </c>
      <c r="F46" s="9">
        <v>2850</v>
      </c>
    </row>
    <row r="47" spans="1:6" x14ac:dyDescent="0.25">
      <c r="A47" s="7"/>
      <c r="B47" s="8"/>
      <c r="C47" s="9"/>
      <c r="D47" s="7" t="s">
        <v>155</v>
      </c>
      <c r="E47" s="8" t="s">
        <v>67</v>
      </c>
      <c r="F47" s="9">
        <v>750</v>
      </c>
    </row>
    <row r="48" spans="1:6" x14ac:dyDescent="0.25">
      <c r="A48" s="7"/>
      <c r="B48" s="8"/>
      <c r="C48" s="9"/>
      <c r="D48" s="7" t="s">
        <v>156</v>
      </c>
      <c r="E48" s="8" t="s">
        <v>157</v>
      </c>
      <c r="F48" s="9">
        <v>183099</v>
      </c>
    </row>
    <row r="49" spans="1:6" x14ac:dyDescent="0.25">
      <c r="A49" s="7"/>
      <c r="B49" s="8"/>
      <c r="C49" s="9"/>
      <c r="D49" s="7" t="s">
        <v>158</v>
      </c>
      <c r="E49" s="8" t="s">
        <v>159</v>
      </c>
      <c r="F49" s="9">
        <v>9590</v>
      </c>
    </row>
    <row r="50" spans="1:6" x14ac:dyDescent="0.25">
      <c r="A50" s="7"/>
      <c r="B50" s="8"/>
      <c r="C50" s="9"/>
      <c r="D50" s="7" t="s">
        <v>160</v>
      </c>
      <c r="E50" s="8" t="s">
        <v>161</v>
      </c>
      <c r="F50" s="9">
        <v>300915</v>
      </c>
    </row>
    <row r="51" spans="1:6" x14ac:dyDescent="0.25">
      <c r="A51" s="7"/>
      <c r="B51" s="8"/>
      <c r="C51" s="9"/>
      <c r="D51" s="4" t="s">
        <v>162</v>
      </c>
      <c r="E51" s="5" t="s">
        <v>163</v>
      </c>
      <c r="F51" s="6">
        <v>2654</v>
      </c>
    </row>
    <row r="52" spans="1:6" x14ac:dyDescent="0.25">
      <c r="A52" s="7"/>
      <c r="B52" s="8"/>
      <c r="C52" s="9"/>
      <c r="D52" s="4" t="s">
        <v>164</v>
      </c>
      <c r="E52" s="5" t="s">
        <v>165</v>
      </c>
      <c r="F52" s="6">
        <v>2029537</v>
      </c>
    </row>
    <row r="53" spans="1:6" ht="16.5" x14ac:dyDescent="0.25">
      <c r="B53" s="10" t="s">
        <v>166</v>
      </c>
      <c r="C53" s="11">
        <f>SUM(C6:C52)</f>
        <v>3892845</v>
      </c>
      <c r="E53" s="10" t="s">
        <v>167</v>
      </c>
      <c r="F53" s="11">
        <f>SUM(F6:F52)</f>
        <v>3892845</v>
      </c>
    </row>
    <row r="55" spans="1:6" ht="16.5" x14ac:dyDescent="0.25">
      <c r="B55" s="21" t="s">
        <v>168</v>
      </c>
      <c r="C55" s="15"/>
      <c r="D55" s="15"/>
      <c r="E55" s="15"/>
    </row>
    <row r="56" spans="1:6" x14ac:dyDescent="0.25">
      <c r="B56" s="16" t="s">
        <v>169</v>
      </c>
      <c r="C56" s="17"/>
      <c r="D56" s="18"/>
      <c r="E56" s="12">
        <v>9879</v>
      </c>
    </row>
    <row r="57" spans="1:6" x14ac:dyDescent="0.25">
      <c r="B57" s="16" t="s">
        <v>170</v>
      </c>
      <c r="C57" s="17"/>
      <c r="D57" s="18"/>
      <c r="E57" s="12">
        <v>651682</v>
      </c>
    </row>
    <row r="58" spans="1:6" x14ac:dyDescent="0.25">
      <c r="B58" s="16" t="s">
        <v>171</v>
      </c>
      <c r="C58" s="17"/>
      <c r="D58" s="18"/>
      <c r="E58" s="12">
        <v>3231284</v>
      </c>
    </row>
    <row r="59" spans="1:6" x14ac:dyDescent="0.25">
      <c r="B59" s="16" t="s">
        <v>172</v>
      </c>
      <c r="C59" s="17"/>
      <c r="D59" s="18"/>
      <c r="E59" s="12">
        <v>1860654</v>
      </c>
    </row>
    <row r="60" spans="1:6" x14ac:dyDescent="0.25">
      <c r="B60" s="16" t="s">
        <v>173</v>
      </c>
      <c r="C60" s="17"/>
      <c r="D60" s="18"/>
      <c r="E60" s="12">
        <v>1370630</v>
      </c>
    </row>
    <row r="61" spans="1:6" x14ac:dyDescent="0.25">
      <c r="B61" s="16" t="s">
        <v>174</v>
      </c>
      <c r="C61" s="17"/>
      <c r="D61" s="18"/>
      <c r="E61" s="12">
        <v>2654</v>
      </c>
    </row>
    <row r="62" spans="1:6" x14ac:dyDescent="0.25">
      <c r="B62" s="16" t="s">
        <v>175</v>
      </c>
      <c r="C62" s="17"/>
      <c r="D62" s="18"/>
      <c r="E62" s="12">
        <v>2029537</v>
      </c>
    </row>
    <row r="63" spans="1:6" x14ac:dyDescent="0.25">
      <c r="B63" s="16" t="s">
        <v>176</v>
      </c>
      <c r="C63" s="17"/>
      <c r="D63" s="18"/>
      <c r="E63" s="12">
        <v>2029536.7</v>
      </c>
    </row>
    <row r="64" spans="1:6" x14ac:dyDescent="0.25">
      <c r="B64" s="16" t="s">
        <v>177</v>
      </c>
      <c r="C64" s="17"/>
      <c r="D64" s="18"/>
      <c r="E64" s="12">
        <v>2032336.7</v>
      </c>
    </row>
    <row r="65" spans="2:6" x14ac:dyDescent="0.25">
      <c r="B65" s="16" t="s">
        <v>178</v>
      </c>
      <c r="C65" s="17"/>
      <c r="D65" s="18"/>
      <c r="E65" s="12">
        <v>-2800</v>
      </c>
    </row>
    <row r="66" spans="2:6" x14ac:dyDescent="0.25">
      <c r="B66" s="19" t="s">
        <v>179</v>
      </c>
      <c r="C66" s="17"/>
      <c r="D66" s="18"/>
      <c r="E66" s="12">
        <v>2029536.7</v>
      </c>
    </row>
    <row r="67" spans="2:6" x14ac:dyDescent="0.25">
      <c r="B67" s="19" t="s">
        <v>180</v>
      </c>
      <c r="C67" s="17"/>
      <c r="D67" s="18"/>
      <c r="E67" s="12">
        <v>0</v>
      </c>
    </row>
    <row r="70" spans="2:6" ht="49.5" customHeight="1" x14ac:dyDescent="0.25">
      <c r="B70" s="13" t="s">
        <v>183</v>
      </c>
      <c r="D70" s="13" t="s">
        <v>182</v>
      </c>
      <c r="F70" s="13" t="s">
        <v>181</v>
      </c>
    </row>
  </sheetData>
  <mergeCells count="16">
    <mergeCell ref="A1:F1"/>
    <mergeCell ref="B56:D56"/>
    <mergeCell ref="B58:D58"/>
    <mergeCell ref="B55:E55"/>
    <mergeCell ref="B65:D65"/>
    <mergeCell ref="B62:D62"/>
    <mergeCell ref="A3:F3"/>
    <mergeCell ref="B64:D64"/>
    <mergeCell ref="A2:F2"/>
    <mergeCell ref="B59:D59"/>
    <mergeCell ref="B60:D60"/>
    <mergeCell ref="B66:D66"/>
    <mergeCell ref="B67:D67"/>
    <mergeCell ref="B63:D63"/>
    <mergeCell ref="B61:D61"/>
    <mergeCell ref="B57:D57"/>
  </mergeCells>
  <pageMargins left="0.43307086614173229" right="0.23622047244094491" top="0.74803149606299213" bottom="0.74803149606299213" header="0.31496062992125984" footer="0.31496062992125984"/>
  <pageSetup paperSize="9" scale="6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Half Yearly Trial Balance</vt:lpstr>
      <vt:lpstr>'Half Yearly Trial Balance'!Print_Area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Saju Jacob</cp:lastModifiedBy>
  <cp:lastPrinted>2026-10-13T08:23:41Z</cp:lastPrinted>
  <dcterms:created xsi:type="dcterms:W3CDTF">2026-10-13T08:13:00Z</dcterms:created>
  <dcterms:modified xsi:type="dcterms:W3CDTF">2026-10-13T08:24:11Z</dcterms:modified>
</cp:coreProperties>
</file>