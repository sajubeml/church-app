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lf Yearly 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1E293B"/>
      <sz val="15"/>
    </font>
    <font>
      <name val="Segoe UI"/>
      <b val="1"/>
      <color rgb="002563EB"/>
      <sz val="12"/>
    </font>
    <font>
      <name val="Segoe UI"/>
      <color rgb="00475569"/>
      <sz val="10"/>
    </font>
    <font>
      <name val="Segoe UI"/>
      <b val="1"/>
      <color rgb="00FFFFFF"/>
      <sz val="10"/>
    </font>
    <font>
      <name val="Consolas"/>
      <b val="1"/>
      <color rgb="002563EB"/>
      <sz val="9"/>
    </font>
    <font>
      <name val="Segoe UI"/>
      <b val="1"/>
      <color rgb="000F172A"/>
      <sz val="10"/>
    </font>
    <font>
      <name val="Segoe UI"/>
      <color rgb="001E293B"/>
      <sz val="10"/>
    </font>
    <font>
      <name val="Segoe UI"/>
      <color rgb="000F172A"/>
      <sz val="10"/>
    </font>
    <font>
      <name val="Segoe UI"/>
      <b val="1"/>
      <color rgb="001E293B"/>
      <sz val="11"/>
    </font>
    <font>
      <name val="Segoe U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  <fill>
      <patternFill patternType="solid">
        <fgColor rgb="002563EB"/>
        <bgColor rgb="002563EB"/>
      </patternFill>
    </fill>
  </fills>
  <borders count="7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4" fontId="6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4" fontId="8" fillId="0" borderId="1" applyAlignment="1" pivotButton="0" quotePrefix="0" xfId="0">
      <alignment horizontal="right" vertical="center"/>
    </xf>
    <xf numFmtId="0" fontId="6" fillId="4" borderId="2" pivotButton="0" quotePrefix="0" xfId="0"/>
    <xf numFmtId="4" fontId="9" fillId="4" borderId="2" applyAlignment="1" pivotButton="0" quotePrefix="0" xfId="0">
      <alignment horizontal="right" vertical="center"/>
    </xf>
    <xf numFmtId="0" fontId="10" fillId="5" borderId="0" applyAlignment="1" pivotButton="0" quotePrefix="0" xfId="0">
      <alignment horizontal="center" vertical="center"/>
    </xf>
    <xf numFmtId="0" fontId="7" fillId="0" borderId="1" pivotButton="0" quotePrefix="0" xfId="0"/>
    <xf numFmtId="0" fontId="0" fillId="0" borderId="5" pivotButton="0" quotePrefix="0" xfId="0"/>
    <xf numFmtId="0" fontId="0" fillId="0" borderId="6" pivotButton="0" quotePrefix="0" xfId="0"/>
    <xf numFmtId="4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18" customWidth="1" min="3" max="3"/>
    <col width="14" customWidth="1" min="4" max="4"/>
    <col width="46" customWidth="1" min="5" max="5"/>
    <col width="18" customWidth="1" min="6" max="6"/>
  </cols>
  <sheetData>
    <row r="1">
      <c r="A1" s="1" t="inlineStr">
        <is>
          <t>ST. GREGORIOS ORTHODOX SYRIAN CHURCH &amp; PILGRIM CENTRE, MYSURU</t>
        </is>
      </c>
    </row>
    <row r="2">
      <c r="A2" s="2" t="inlineStr">
        <is>
          <t>HALF-YEARLY TRIAL BALANCE &amp; RECEIPTS AND PAYMENTS STATEMENT (FY 2026-2027)</t>
        </is>
      </c>
    </row>
    <row r="3">
      <c r="A3" s="3" t="inlineStr">
        <is>
          <t>Period: 01-April-2026 to 30-September-2026 | Presented to Half-Yearly General Body Meeting</t>
        </is>
      </c>
    </row>
    <row r="5">
      <c r="A5" s="4" t="inlineStr">
        <is>
          <t>Code</t>
        </is>
      </c>
      <c r="B5" s="5" t="inlineStr">
        <is>
          <t>Receipts Account Head (Debit)</t>
        </is>
      </c>
      <c r="C5" s="6" t="inlineStr">
        <is>
          <t>Debit Amount (₹)</t>
        </is>
      </c>
      <c r="D5" s="4" t="inlineStr">
        <is>
          <t>Code</t>
        </is>
      </c>
      <c r="E5" s="5" t="inlineStr">
        <is>
          <t>Payments Account Head (Credit)</t>
        </is>
      </c>
      <c r="F5" s="6" t="inlineStr">
        <is>
          <t>Credit Amount (₹)</t>
        </is>
      </c>
    </row>
    <row r="6">
      <c r="A6" s="7" t="inlineStr">
        <is>
          <t>RP-1.01</t>
        </is>
      </c>
      <c r="B6" s="8" t="inlineStr">
        <is>
          <t>Opening Balance - Cash in Hand</t>
        </is>
      </c>
      <c r="C6" s="9" t="n">
        <v>9879</v>
      </c>
      <c r="D6" s="10" t="inlineStr">
        <is>
          <t>RP-12.02(A)</t>
        </is>
      </c>
      <c r="E6" s="11" t="inlineStr">
        <is>
          <t>Medical Allowance to Vicar</t>
        </is>
      </c>
      <c r="F6" s="12" t="n">
        <v>8434</v>
      </c>
    </row>
    <row r="7">
      <c r="A7" s="7" t="inlineStr">
        <is>
          <t>RP-1.02</t>
        </is>
      </c>
      <c r="B7" s="8" t="inlineStr">
        <is>
          <t>Opening Balance - Cash at Bank (SB A/c)</t>
        </is>
      </c>
      <c r="C7" s="9" t="n">
        <v>651682</v>
      </c>
      <c r="D7" s="10" t="inlineStr">
        <is>
          <t>RP-12.02(C)</t>
        </is>
      </c>
      <c r="E7" s="11" t="inlineStr">
        <is>
          <t>Telephone Allowance to Vicar</t>
        </is>
      </c>
      <c r="F7" s="12" t="n">
        <v>3000</v>
      </c>
    </row>
    <row r="8">
      <c r="A8" s="10" t="inlineStr">
        <is>
          <t>RP-10.04/05</t>
        </is>
      </c>
      <c r="B8" s="11" t="inlineStr">
        <is>
          <t>Catholicate Day &amp; Recessa</t>
        </is>
      </c>
      <c r="C8" s="12" t="n">
        <v>36050</v>
      </c>
      <c r="D8" s="10" t="inlineStr">
        <is>
          <t>RP-12.02(D)</t>
        </is>
      </c>
      <c r="E8" s="11" t="inlineStr">
        <is>
          <t>Local Travelling Allowance to Vicar</t>
        </is>
      </c>
      <c r="F8" s="12" t="n">
        <v>15000</v>
      </c>
    </row>
    <row r="9">
      <c r="A9" s="10" t="inlineStr">
        <is>
          <t>RP-10.08</t>
        </is>
      </c>
      <c r="B9" s="11" t="inlineStr">
        <is>
          <t>Metropolitan Fund</t>
        </is>
      </c>
      <c r="C9" s="12" t="n">
        <v>16450</v>
      </c>
      <c r="D9" s="10" t="inlineStr">
        <is>
          <t>RP-12.03(A)</t>
        </is>
      </c>
      <c r="E9" s="11" t="inlineStr">
        <is>
          <t>Salary to Sexton</t>
        </is>
      </c>
      <c r="F9" s="12" t="n">
        <v>92700</v>
      </c>
    </row>
    <row r="10">
      <c r="A10" s="10" t="inlineStr">
        <is>
          <t>RP-10.10</t>
        </is>
      </c>
      <c r="B10" s="11" t="inlineStr">
        <is>
          <t>Priest Welfare Fund</t>
        </is>
      </c>
      <c r="C10" s="12" t="n">
        <v>8200</v>
      </c>
      <c r="D10" s="10" t="inlineStr">
        <is>
          <t>RP-12.03(B)</t>
        </is>
      </c>
      <c r="E10" s="11" t="inlineStr">
        <is>
          <t>Salary to Watchman(Cemetery)</t>
        </is>
      </c>
      <c r="F10" s="12" t="n">
        <v>14100</v>
      </c>
    </row>
    <row r="11">
      <c r="A11" s="10" t="inlineStr">
        <is>
          <t>RP-10.13</t>
        </is>
      </c>
      <c r="B11" s="11" t="inlineStr">
        <is>
          <t>Mission Sunday</t>
        </is>
      </c>
      <c r="C11" s="12" t="n">
        <v>10550</v>
      </c>
      <c r="D11" s="10" t="inlineStr">
        <is>
          <t>RP-12.03(C)</t>
        </is>
      </c>
      <c r="E11" s="11" t="inlineStr">
        <is>
          <t>Salary to Ayah</t>
        </is>
      </c>
      <c r="F11" s="12" t="n">
        <v>23580</v>
      </c>
    </row>
    <row r="12">
      <c r="A12" s="10" t="inlineStr">
        <is>
          <t>RP-10.14</t>
        </is>
      </c>
      <c r="B12" s="11" t="inlineStr">
        <is>
          <t>Sunday School Day Collection</t>
        </is>
      </c>
      <c r="C12" s="12" t="n">
        <v>2750</v>
      </c>
      <c r="D12" s="10" t="inlineStr">
        <is>
          <t>RP-12.06</t>
        </is>
      </c>
      <c r="E12" s="11" t="inlineStr">
        <is>
          <t>Medical Allowance to Sexton</t>
        </is>
      </c>
      <c r="F12" s="12" t="n">
        <v>2589</v>
      </c>
    </row>
    <row r="13">
      <c r="A13" s="10" t="inlineStr">
        <is>
          <t>RP-10.15</t>
        </is>
      </c>
      <c r="B13" s="11" t="inlineStr">
        <is>
          <t>Seminary Day</t>
        </is>
      </c>
      <c r="C13" s="12" t="n">
        <v>7450</v>
      </c>
      <c r="D13" s="10" t="inlineStr">
        <is>
          <t>RP-12.07</t>
        </is>
      </c>
      <c r="E13" s="11" t="inlineStr">
        <is>
          <t>RP-12.07</t>
        </is>
      </c>
      <c r="F13" s="12" t="n">
        <v>10000</v>
      </c>
    </row>
    <row r="14">
      <c r="A14" s="10" t="inlineStr">
        <is>
          <t>RP-10.17</t>
        </is>
      </c>
      <c r="B14" s="11" t="inlineStr">
        <is>
          <t>Old Cover Collection Dues</t>
        </is>
      </c>
      <c r="C14" s="12" t="n">
        <v>8100</v>
      </c>
      <c r="D14" s="10" t="inlineStr">
        <is>
          <t>RP-13.02</t>
        </is>
      </c>
      <c r="E14" s="11" t="inlineStr">
        <is>
          <t>Bank Charges</t>
        </is>
      </c>
      <c r="F14" s="12" t="n">
        <v>317.3</v>
      </c>
    </row>
    <row r="15">
      <c r="A15" s="10" t="inlineStr">
        <is>
          <t>RP-2.02</t>
        </is>
      </c>
      <c r="B15" s="11" t="inlineStr">
        <is>
          <t>Donation General</t>
        </is>
      </c>
      <c r="C15" s="12" t="n">
        <v>416620</v>
      </c>
      <c r="D15" s="10" t="inlineStr">
        <is>
          <t>RP-14.03</t>
        </is>
      </c>
      <c r="E15" s="11" t="inlineStr">
        <is>
          <t>Travelling Expenses</t>
        </is>
      </c>
      <c r="F15" s="12" t="n">
        <v>3110</v>
      </c>
    </row>
    <row r="16">
      <c r="A16" s="10" t="inlineStr">
        <is>
          <t>RP-2.02(A)</t>
        </is>
      </c>
      <c r="B16" s="11" t="inlineStr">
        <is>
          <t>Donation General (chair &amp; tables)</t>
        </is>
      </c>
      <c r="C16" s="12" t="n">
        <v>211780</v>
      </c>
      <c r="D16" s="10" t="inlineStr">
        <is>
          <t>RP-14.04</t>
        </is>
      </c>
      <c r="E16" s="11" t="inlineStr">
        <is>
          <t>Audit Fee</t>
        </is>
      </c>
      <c r="F16" s="12" t="n">
        <v>35400</v>
      </c>
    </row>
    <row r="17">
      <c r="A17" s="10" t="inlineStr">
        <is>
          <t>RP-2.12</t>
        </is>
      </c>
      <c r="B17" s="11" t="inlineStr">
        <is>
          <t>Parish Day/Harvest / Collection</t>
        </is>
      </c>
      <c r="C17" s="12" t="n">
        <v>1500</v>
      </c>
      <c r="D17" s="10" t="inlineStr">
        <is>
          <t>RP-14.05</t>
        </is>
      </c>
      <c r="E17" s="11" t="inlineStr">
        <is>
          <t>Postage</t>
        </is>
      </c>
      <c r="F17" s="12" t="n">
        <v>2433</v>
      </c>
    </row>
    <row r="18">
      <c r="A18" s="10" t="inlineStr">
        <is>
          <t>RP-2.13</t>
        </is>
      </c>
      <c r="B18" s="11" t="inlineStr">
        <is>
          <t>Passion Week Collection</t>
        </is>
      </c>
      <c r="C18" s="12" t="n">
        <v>78606</v>
      </c>
      <c r="D18" s="10" t="inlineStr">
        <is>
          <t>RP-14.06</t>
        </is>
      </c>
      <c r="E18" s="11" t="inlineStr">
        <is>
          <t>Printing &amp; Stationery</t>
        </is>
      </c>
      <c r="F18" s="12" t="n">
        <v>34742</v>
      </c>
    </row>
    <row r="19">
      <c r="A19" s="10" t="inlineStr">
        <is>
          <t>RP-2.15</t>
        </is>
      </c>
      <c r="B19" s="11" t="inlineStr">
        <is>
          <t>Auction current</t>
        </is>
      </c>
      <c r="C19" s="12" t="n">
        <v>1000</v>
      </c>
      <c r="D19" s="10" t="inlineStr">
        <is>
          <t>RP-14.31</t>
        </is>
      </c>
      <c r="E19" s="11" t="inlineStr">
        <is>
          <t>Maintenance of Church &amp; Parsonage</t>
        </is>
      </c>
      <c r="F19" s="12" t="n">
        <v>130510</v>
      </c>
    </row>
    <row r="20">
      <c r="A20" s="10" t="inlineStr">
        <is>
          <t>RP-2.15(A)</t>
        </is>
      </c>
      <c r="B20" s="11" t="inlineStr">
        <is>
          <t>Auction Dues - Old</t>
        </is>
      </c>
      <c r="C20" s="12" t="n">
        <v>106500</v>
      </c>
      <c r="D20" s="10" t="inlineStr">
        <is>
          <t>RP-14.32</t>
        </is>
      </c>
      <c r="E20" s="11" t="inlineStr">
        <is>
          <t>Repairs And Maintenance-Equipments</t>
        </is>
      </c>
      <c r="F20" s="12" t="n">
        <v>3099</v>
      </c>
    </row>
    <row r="21">
      <c r="A21" s="10" t="inlineStr">
        <is>
          <t>RP-2.15(B)</t>
        </is>
      </c>
      <c r="B21" s="11" t="inlineStr">
        <is>
          <t>Petty Auction</t>
        </is>
      </c>
      <c r="C21" s="12" t="n">
        <v>1500</v>
      </c>
      <c r="D21" s="10" t="inlineStr">
        <is>
          <t>RP-14.34</t>
        </is>
      </c>
      <c r="E21" s="11" t="inlineStr">
        <is>
          <t>Repairs And Maintenance-Vehicles</t>
        </is>
      </c>
      <c r="F21" s="12" t="n">
        <v>4790</v>
      </c>
    </row>
    <row r="22">
      <c r="A22" s="10" t="inlineStr">
        <is>
          <t>RP-2.16</t>
        </is>
      </c>
      <c r="B22" s="11" t="inlineStr">
        <is>
          <t>Donation Breakfast</t>
        </is>
      </c>
      <c r="C22" s="12" t="n">
        <v>156300</v>
      </c>
      <c r="D22" s="10" t="inlineStr">
        <is>
          <t>RP-14.35</t>
        </is>
      </c>
      <c r="E22" s="11" t="inlineStr">
        <is>
          <t>Maintenance of Cemetery</t>
        </is>
      </c>
      <c r="F22" s="12" t="n">
        <v>5490</v>
      </c>
    </row>
    <row r="23">
      <c r="A23" s="10" t="inlineStr">
        <is>
          <t>RP-2.211</t>
        </is>
      </c>
      <c r="B23" s="11" t="inlineStr">
        <is>
          <t>KMDC Grant</t>
        </is>
      </c>
      <c r="C23" s="12" t="n">
        <v>1500000</v>
      </c>
      <c r="D23" s="10" t="inlineStr">
        <is>
          <t>RP-16.04</t>
        </is>
      </c>
      <c r="E23" s="11" t="inlineStr">
        <is>
          <t>Church Service Expense</t>
        </is>
      </c>
      <c r="F23" s="12" t="n">
        <v>16299</v>
      </c>
    </row>
    <row r="24">
      <c r="A24" s="10" t="inlineStr">
        <is>
          <t>RP-3.03</t>
        </is>
      </c>
      <c r="B24" s="11" t="inlineStr">
        <is>
          <t>Kurishinthothil &amp;</t>
        </is>
      </c>
      <c r="C24" s="12" t="n">
        <v>44807</v>
      </c>
      <c r="D24" s="10" t="inlineStr">
        <is>
          <t>RP-16.06</t>
        </is>
      </c>
      <c r="E24" s="11" t="inlineStr">
        <is>
          <t>Passion Week Expenses</t>
        </is>
      </c>
      <c r="F24" s="12" t="n">
        <v>54115</v>
      </c>
    </row>
    <row r="25">
      <c r="A25" s="10" t="inlineStr">
        <is>
          <t>RP-3.04</t>
        </is>
      </c>
      <c r="B25" s="11" t="inlineStr">
        <is>
          <t>Koodaram</t>
        </is>
      </c>
      <c r="C25" s="12" t="n">
        <v>47311</v>
      </c>
      <c r="D25" s="10" t="inlineStr">
        <is>
          <t>RP-16.08</t>
        </is>
      </c>
      <c r="E25" s="11" t="inlineStr">
        <is>
          <t>Breakfast Expenses</t>
        </is>
      </c>
      <c r="F25" s="12" t="n">
        <v>144006.99</v>
      </c>
    </row>
    <row r="26">
      <c r="A26" s="10" t="inlineStr">
        <is>
          <t>RP-3.05</t>
        </is>
      </c>
      <c r="B26" s="11" t="inlineStr">
        <is>
          <t>Perunnal Vanchika (House Offertory Box)</t>
        </is>
      </c>
      <c r="C26" s="12" t="n">
        <v>5800</v>
      </c>
      <c r="D26" s="10" t="inlineStr">
        <is>
          <t>RP-16.11(A)</t>
        </is>
      </c>
      <c r="E26" s="11" t="inlineStr">
        <is>
          <t>Electricity Charges - Church</t>
        </is>
      </c>
      <c r="F26" s="12" t="n">
        <v>15158</v>
      </c>
    </row>
    <row r="27">
      <c r="A27" s="10" t="inlineStr">
        <is>
          <t>RP-3.10</t>
        </is>
      </c>
      <c r="B27" s="11" t="inlineStr">
        <is>
          <t>Kanicka Church</t>
        </is>
      </c>
      <c r="C27" s="12" t="n">
        <v>187424</v>
      </c>
      <c r="D27" s="10" t="inlineStr">
        <is>
          <t>RP-16.11(B)</t>
        </is>
      </c>
      <c r="E27" s="11" t="inlineStr">
        <is>
          <t>Electricity Charges - Parsonage</t>
        </is>
      </c>
      <c r="F27" s="12" t="n">
        <v>15112</v>
      </c>
    </row>
    <row r="28">
      <c r="A28" s="10" t="inlineStr">
        <is>
          <t>RP-3.12</t>
        </is>
      </c>
      <c r="B28" s="11" t="inlineStr">
        <is>
          <t>Orma Qurbana/Holy Qurbana</t>
        </is>
      </c>
      <c r="C28" s="12" t="n">
        <v>7720</v>
      </c>
      <c r="D28" s="10" t="inlineStr">
        <is>
          <t>RP-16.11(C)</t>
        </is>
      </c>
      <c r="E28" s="11" t="inlineStr">
        <is>
          <t>Electricity Charges - Cemetery</t>
        </is>
      </c>
      <c r="F28" s="12" t="n">
        <v>430</v>
      </c>
    </row>
    <row r="29">
      <c r="A29" s="10" t="inlineStr">
        <is>
          <t>RP-3.13</t>
        </is>
      </c>
      <c r="B29" s="11" t="inlineStr">
        <is>
          <t>Kanicka - Chapel</t>
        </is>
      </c>
      <c r="C29" s="12" t="n">
        <v>3430</v>
      </c>
      <c r="D29" s="10" t="inlineStr">
        <is>
          <t>RP-16.35</t>
        </is>
      </c>
      <c r="E29" s="11" t="inlineStr">
        <is>
          <t>Curtain Expenses</t>
        </is>
      </c>
      <c r="F29" s="12" t="n">
        <v>2538</v>
      </c>
    </row>
    <row r="30">
      <c r="A30" s="10" t="inlineStr">
        <is>
          <t>RP-3.14</t>
        </is>
      </c>
      <c r="B30" s="11" t="inlineStr">
        <is>
          <t>Baptism</t>
        </is>
      </c>
      <c r="C30" s="12" t="n">
        <v>2500</v>
      </c>
      <c r="D30" s="10" t="inlineStr">
        <is>
          <t>RP-16.36</t>
        </is>
      </c>
      <c r="E30" s="11" t="inlineStr">
        <is>
          <t>Cemetery Development</t>
        </is>
      </c>
      <c r="F30" s="12" t="n">
        <v>657435</v>
      </c>
    </row>
    <row r="31">
      <c r="A31" s="10" t="inlineStr">
        <is>
          <t>RP-3.16</t>
        </is>
      </c>
      <c r="B31" s="11" t="inlineStr">
        <is>
          <t>Birthday Offerings</t>
        </is>
      </c>
      <c r="C31" s="12" t="n">
        <v>23400</v>
      </c>
      <c r="D31" s="10" t="inlineStr">
        <is>
          <t>RP-16.38</t>
        </is>
      </c>
      <c r="E31" s="11" t="inlineStr">
        <is>
          <t>Miscellaneous Expenses</t>
        </is>
      </c>
      <c r="F31" s="12" t="n">
        <v>2004</v>
      </c>
    </row>
    <row r="32">
      <c r="A32" s="10" t="inlineStr">
        <is>
          <t>RP-3.17</t>
        </is>
      </c>
      <c r="B32" s="11" t="inlineStr">
        <is>
          <t>Wedding Anniversary Offerings</t>
        </is>
      </c>
      <c r="C32" s="12" t="n">
        <v>9999</v>
      </c>
      <c r="D32" s="10" t="inlineStr">
        <is>
          <t>RP-16.47</t>
        </is>
      </c>
      <c r="E32" s="11" t="inlineStr">
        <is>
          <t>St. Mary's Feast</t>
        </is>
      </c>
      <c r="F32" s="12" t="n">
        <v>23404</v>
      </c>
    </row>
    <row r="33">
      <c r="A33" s="10" t="inlineStr">
        <is>
          <t>RP-3.17(A)</t>
        </is>
      </c>
      <c r="B33" s="11" t="inlineStr">
        <is>
          <t>House Blessing</t>
        </is>
      </c>
      <c r="C33" s="12" t="n">
        <v>1500</v>
      </c>
      <c r="D33" s="10" t="inlineStr">
        <is>
          <t>RP-16.50</t>
        </is>
      </c>
      <c r="E33" s="11" t="inlineStr">
        <is>
          <t>St. George Feast</t>
        </is>
      </c>
      <c r="F33" s="12" t="n">
        <v>10183</v>
      </c>
    </row>
    <row r="34">
      <c r="A34" s="10" t="inlineStr">
        <is>
          <t>RP-3.18</t>
        </is>
      </c>
      <c r="B34" s="11" t="inlineStr">
        <is>
          <t>Offerings for Ritual Articles: Candles, Oil, Kunnurikkam</t>
        </is>
      </c>
      <c r="C34" s="12" t="n">
        <v>2280</v>
      </c>
      <c r="D34" s="10" t="inlineStr">
        <is>
          <t>RP-16.62</t>
        </is>
      </c>
      <c r="E34" s="11" t="inlineStr">
        <is>
          <t>Sunday School Expense</t>
        </is>
      </c>
      <c r="F34" s="12" t="n">
        <v>18000</v>
      </c>
    </row>
    <row r="35">
      <c r="A35" s="10" t="inlineStr">
        <is>
          <t>RP-3.31</t>
        </is>
      </c>
      <c r="B35" s="11" t="inlineStr">
        <is>
          <t>St. Thomas Feast</t>
        </is>
      </c>
      <c r="C35" s="12" t="n">
        <v>600</v>
      </c>
      <c r="D35" s="10" t="inlineStr">
        <is>
          <t>RP-16.68</t>
        </is>
      </c>
      <c r="E35" s="11" t="inlineStr">
        <is>
          <t>MGOCSM &amp; OCYM</t>
        </is>
      </c>
      <c r="F35" s="12" t="n">
        <v>9740</v>
      </c>
    </row>
    <row r="36">
      <c r="A36" s="10" t="inlineStr">
        <is>
          <t>RP-3.32</t>
        </is>
      </c>
      <c r="B36" s="11" t="inlineStr">
        <is>
          <t>St. Mary's Feast</t>
        </is>
      </c>
      <c r="C36" s="12" t="n">
        <v>85300</v>
      </c>
      <c r="D36" s="10" t="inlineStr">
        <is>
          <t>RP-16.69</t>
        </is>
      </c>
      <c r="E36" s="11" t="inlineStr">
        <is>
          <t>Gift &amp; Mementoes</t>
        </is>
      </c>
      <c r="F36" s="12" t="n">
        <v>2850</v>
      </c>
    </row>
    <row r="37">
      <c r="A37" s="10" t="inlineStr">
        <is>
          <t>RP-3.33</t>
        </is>
      </c>
      <c r="B37" s="11" t="inlineStr">
        <is>
          <t>St. Gregorios Feast (Annual Feast)</t>
        </is>
      </c>
      <c r="C37" s="12" t="n">
        <v>1600</v>
      </c>
      <c r="D37" s="10" t="inlineStr">
        <is>
          <t>RP-16.89</t>
        </is>
      </c>
      <c r="E37" s="11" t="inlineStr">
        <is>
          <t>RP-16.89</t>
        </is>
      </c>
      <c r="F37" s="12" t="n">
        <v>6252</v>
      </c>
    </row>
    <row r="38">
      <c r="A38" s="10" t="inlineStr">
        <is>
          <t>RP-3.35</t>
        </is>
      </c>
      <c r="B38" s="11" t="inlineStr">
        <is>
          <t>St. George Feast</t>
        </is>
      </c>
      <c r="C38" s="12" t="n">
        <v>15500</v>
      </c>
      <c r="D38" s="10" t="inlineStr">
        <is>
          <t>RP-18.16</t>
        </is>
      </c>
      <c r="E38" s="11" t="inlineStr">
        <is>
          <t>Asset Purchase</t>
        </is>
      </c>
      <c r="F38" s="12" t="n">
        <v>183099</v>
      </c>
    </row>
    <row r="39">
      <c r="A39" s="10" t="inlineStr">
        <is>
          <t>RP-3.61</t>
        </is>
      </c>
      <c r="B39" s="11" t="inlineStr">
        <is>
          <t>Sunday School</t>
        </is>
      </c>
      <c r="C39" s="12" t="n">
        <v>2900</v>
      </c>
      <c r="D39" s="10" t="inlineStr">
        <is>
          <t>RP-18.23</t>
        </is>
      </c>
      <c r="E39" s="11" t="inlineStr">
        <is>
          <t>Electrical Equipments</t>
        </is>
      </c>
      <c r="F39" s="12" t="n">
        <v>9590</v>
      </c>
    </row>
    <row r="40">
      <c r="A40" s="10" t="inlineStr">
        <is>
          <t>RP-3.64</t>
        </is>
      </c>
      <c r="B40" s="11" t="inlineStr">
        <is>
          <t>Kanika Prayer Group</t>
        </is>
      </c>
      <c r="C40" s="12" t="n">
        <v>2370</v>
      </c>
      <c r="D40" s="10" t="inlineStr">
        <is>
          <t>RP-19.31</t>
        </is>
      </c>
      <c r="E40" s="11" t="inlineStr">
        <is>
          <t>Salary Quota to Diocese(Vicar)</t>
        </is>
      </c>
      <c r="F40" s="12" t="n">
        <v>300915</v>
      </c>
    </row>
    <row r="41">
      <c r="A41" s="10" t="inlineStr">
        <is>
          <t>RP-3.82</t>
        </is>
      </c>
      <c r="B41" s="11" t="inlineStr">
        <is>
          <t>Monthly Subscription (Current Year)</t>
        </is>
      </c>
      <c r="C41" s="12" t="n">
        <v>166200</v>
      </c>
      <c r="D41" s="7" t="inlineStr">
        <is>
          <t>CB-CASH</t>
        </is>
      </c>
      <c r="E41" s="8" t="inlineStr">
        <is>
          <t>Closing Balance - Cash in Hand (30/09/2026)</t>
        </is>
      </c>
      <c r="F41" s="9" t="n">
        <v>2223.01</v>
      </c>
    </row>
    <row r="42">
      <c r="A42" s="10" t="inlineStr">
        <is>
          <t>RP-3.83</t>
        </is>
      </c>
      <c r="B42" s="11" t="inlineStr">
        <is>
          <t>Monthly Subscription (Previous Year)</t>
        </is>
      </c>
      <c r="C42" s="12" t="n">
        <v>39500</v>
      </c>
      <c r="D42" s="7" t="inlineStr">
        <is>
          <t>CB-BANK</t>
        </is>
      </c>
      <c r="E42" s="8" t="inlineStr">
        <is>
          <t>Closing Balance - Cash at Bank (SB A/c 30/09/2026)</t>
        </is>
      </c>
      <c r="F42" s="9" t="n">
        <v>2029536.7</v>
      </c>
    </row>
    <row r="43">
      <c r="A43" s="10" t="inlineStr">
        <is>
          <t>RP-8.03</t>
        </is>
      </c>
      <c r="B43" s="11" t="inlineStr">
        <is>
          <t>Interest Received SB Account</t>
        </is>
      </c>
      <c r="C43" s="12" t="n">
        <v>17127</v>
      </c>
      <c r="D43" s="10" t="inlineStr"/>
      <c r="E43" s="11" t="inlineStr"/>
      <c r="F43" s="12" t="inlineStr"/>
    </row>
    <row r="44">
      <c r="A44" t="inlineStr"/>
      <c r="B44" s="13" t="inlineStr">
        <is>
          <t>TOTAL TRIAL BALANCE (RECEIPTS / DEBIT)</t>
        </is>
      </c>
      <c r="C44" s="14">
        <f>SUM(C6:C43)</f>
        <v/>
      </c>
      <c r="D44" t="inlineStr"/>
      <c r="E44" s="13" t="inlineStr">
        <is>
          <t>TOTAL TRIAL BALANCE (PAYMENTS / CREDIT)</t>
        </is>
      </c>
      <c r="F44" s="14">
        <f>SUM(F6:F43)</f>
        <v/>
      </c>
    </row>
    <row r="47">
      <c r="B47" s="15" t="inlineStr">
        <is>
          <t>HALF-YEARLY OPERATING AUDIT &amp; CASH POSITION SUMMARY</t>
        </is>
      </c>
    </row>
    <row r="48">
      <c r="B48" s="16" t="inlineStr">
        <is>
          <t>Opening Balance (01-04-2026): Cash ₹9,879 + Bank ₹6,51,682</t>
        </is>
      </c>
      <c r="C48" s="17" t="n"/>
      <c r="D48" s="18" t="n"/>
      <c r="E48" s="19" t="n">
        <v>661561</v>
      </c>
    </row>
    <row r="49">
      <c r="B49" s="16" t="inlineStr">
        <is>
          <t>Add: Revenue &amp; General Receipts (01-04-2026 to 30-09-2026)</t>
        </is>
      </c>
      <c r="C49" s="17" t="n"/>
      <c r="D49" s="18" t="n"/>
      <c r="E49" s="19" t="n">
        <v>3230624</v>
      </c>
    </row>
    <row r="50">
      <c r="B50" s="16" t="inlineStr">
        <is>
          <t>Total Liquid Funds Handled</t>
        </is>
      </c>
      <c r="C50" s="17" t="n"/>
      <c r="D50" s="18" t="n"/>
      <c r="E50" s="19" t="n">
        <v>3892185</v>
      </c>
    </row>
    <row r="51">
      <c r="B51" s="16" t="inlineStr">
        <is>
          <t>Less: Revenue &amp; Capital Payments (01-04-2026 to 30-09-2026)</t>
        </is>
      </c>
      <c r="C51" s="17" t="n"/>
      <c r="D51" s="18" t="n"/>
      <c r="E51" s="19" t="n">
        <v>1860425.29</v>
      </c>
    </row>
    <row r="52">
      <c r="B52" s="16" t="inlineStr">
        <is>
          <t>Operating Surplus (Excess of Receipts over Payments)</t>
        </is>
      </c>
      <c r="C52" s="17" t="n"/>
      <c r="D52" s="18" t="n"/>
      <c r="E52" s="19" t="n">
        <v>1370198.71</v>
      </c>
    </row>
    <row r="53">
      <c r="B53" s="16" t="inlineStr">
        <is>
          <t>Actual Closing Balance (30-09-2026): Cash ₹2,223.01 + Bank ₹20,29,536.70</t>
        </is>
      </c>
      <c r="C53" s="17" t="n"/>
      <c r="D53" s="18" t="n"/>
      <c r="E53" s="19" t="n">
        <v>2031759.71</v>
      </c>
    </row>
    <row r="54">
      <c r="B54" s="16" t="inlineStr">
        <is>
          <t>Reconciliation Variance / Difference</t>
        </is>
      </c>
      <c r="C54" s="17" t="n"/>
      <c r="D54" s="18" t="n"/>
      <c r="E54" s="19" t="n">
        <v>0</v>
      </c>
    </row>
  </sheetData>
  <mergeCells count="11">
    <mergeCell ref="A2:F2"/>
    <mergeCell ref="B54:D54"/>
    <mergeCell ref="A1:F1"/>
    <mergeCell ref="B49:D49"/>
    <mergeCell ref="B50:D50"/>
    <mergeCell ref="B52:D52"/>
    <mergeCell ref="B47:E47"/>
    <mergeCell ref="B53:D53"/>
    <mergeCell ref="A3:F3"/>
    <mergeCell ref="B51:D51"/>
    <mergeCell ref="B48:D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2026-10-13T06:49:12Z</dcterms:created>
  <dcterms:modified xsi:type="dcterms:W3CDTF">2026-10-13T06:49:12Z</dcterms:modified>
</cp:coreProperties>
</file>